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orkspace_Idea\kafka-article-2-krev\"/>
    </mc:Choice>
  </mc:AlternateContent>
  <bookViews>
    <workbookView xWindow="0" yWindow="0" windowWidth="24000" windowHeight="931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12" i="1" l="1"/>
  <c r="W46" i="1"/>
  <c r="W38" i="1"/>
  <c r="W30" i="1"/>
  <c r="W43" i="1"/>
  <c r="W22" i="1"/>
  <c r="W10" i="1"/>
  <c r="W35" i="1"/>
  <c r="W27" i="1"/>
  <c r="W19" i="1"/>
  <c r="W7" i="1"/>
  <c r="W17" i="1"/>
  <c r="W5" i="1"/>
</calcChain>
</file>

<file path=xl/sharedStrings.xml><?xml version="1.0" encoding="utf-8"?>
<sst xmlns="http://schemas.openxmlformats.org/spreadsheetml/2006/main" count="257" uniqueCount="150">
  <si>
    <t>Order-service</t>
  </si>
  <si>
    <t>Utilization</t>
  </si>
  <si>
    <t>JVM Heap max (used / committed / max), Mib</t>
  </si>
  <si>
    <t>337 / 512 / 512</t>
  </si>
  <si>
    <t>JVM Off-Heap: Direct Memory max, KiB</t>
  </si>
  <si>
    <t>106 / 108 / 416</t>
  </si>
  <si>
    <t>JVM Non-Heap Total max  (used / committed / max), MiB</t>
  </si>
  <si>
    <t>JVM Non-Heap Metaspace max  (used / committed / max), MiB</t>
  </si>
  <si>
    <t>62 / 63 / 96</t>
  </si>
  <si>
    <t>JVM Non-Heap Code Cache max  (used / committed / max), MiB</t>
  </si>
  <si>
    <t>JVM Non-Heap Compressed Class Space max  (used / committed / max), MiB</t>
  </si>
  <si>
    <t>JVM Total max  (used / committed / max), MiB</t>
  </si>
  <si>
    <t>443 / 620 / 928</t>
  </si>
  <si>
    <t>CPU usage peak (system / process)</t>
  </si>
  <si>
    <t>Load peak (system-1m / cpus)</t>
  </si>
  <si>
    <t>6 / 2</t>
  </si>
  <si>
    <t>Threads max (peak / live / daemon)</t>
  </si>
  <si>
    <t>34 / 32 / 25</t>
  </si>
  <si>
    <t>0 / 0 / 11 / 0 / 7 / 16</t>
  </si>
  <si>
    <t>Thread states max (blocked / new / runnable / terminated / timed-waiting / waiting)</t>
  </si>
  <si>
    <t>GC pressure max</t>
  </si>
  <si>
    <t>GC collections max</t>
  </si>
  <si>
    <t>Pause Durations max</t>
  </si>
  <si>
    <t>Class loaded</t>
  </si>
  <si>
    <t># experiment</t>
  </si>
  <si>
    <t>Rate ops/s</t>
  </si>
  <si>
    <t>Duration, s</t>
  </si>
  <si>
    <t>xss, Mib</t>
  </si>
  <si>
    <t>Total calculated RAM, Mib</t>
  </si>
  <si>
    <t>Inventory-service</t>
  </si>
  <si>
    <t>108 / 122 / 2390</t>
  </si>
  <si>
    <t>157 / 160 / 1230</t>
  </si>
  <si>
    <t>103 / 104 / -1</t>
  </si>
  <si>
    <t>262 / 282 / 3620</t>
  </si>
  <si>
    <t>47 / 46 / 36</t>
  </si>
  <si>
    <t>0 / 0 / 10 / 0 /13 / 24</t>
  </si>
  <si>
    <t>36,8 / 37,4 / 240</t>
  </si>
  <si>
    <t>7,44 / 7,75 / 80</t>
  </si>
  <si>
    <t>0,82 / 0,82</t>
  </si>
  <si>
    <t>345 / 512 / 512</t>
  </si>
  <si>
    <t>113 / 115 / 416</t>
  </si>
  <si>
    <t>42,2 / 42,8 / 240</t>
  </si>
  <si>
    <t>7,5 / 7,88 / 80</t>
  </si>
  <si>
    <t>458 / 627 / 928</t>
  </si>
  <si>
    <t>43 / 42 / 35</t>
  </si>
  <si>
    <t>0 / 0 / 11 / 0 / 8 / 25</t>
  </si>
  <si>
    <t>2,8 / 2</t>
  </si>
  <si>
    <t>172 / 174 / 1230</t>
  </si>
  <si>
    <t>293 / 312 / 3620</t>
  </si>
  <si>
    <t>52,6 / 53,1 / 240</t>
  </si>
  <si>
    <t>106 / 107 / -1</t>
  </si>
  <si>
    <t>40,7 / 42,1 / 240</t>
  </si>
  <si>
    <t>13,4 / 13,8 / 1024</t>
  </si>
  <si>
    <t>13,4 / 13,9 / 1024</t>
  </si>
  <si>
    <t>0,8 / 0,8</t>
  </si>
  <si>
    <t>2,5 / 8</t>
  </si>
  <si>
    <t>48 / 46 / 36</t>
  </si>
  <si>
    <t>0 / 0 / 11 / 0 /12 / 23</t>
  </si>
  <si>
    <t>JDBC Hikaricp connections max (max / active)</t>
  </si>
  <si>
    <t>10 / 2</t>
  </si>
  <si>
    <t>121 / 132 / 2390</t>
  </si>
  <si>
    <t>analytical-service</t>
  </si>
  <si>
    <t>64 / 78 / 2390</t>
  </si>
  <si>
    <t>92 / 94 / 1230</t>
  </si>
  <si>
    <t>58 / 59 / -1</t>
  </si>
  <si>
    <t>27 / 27 / 240</t>
  </si>
  <si>
    <t>7 / 7,4 / 1024</t>
  </si>
  <si>
    <t>155 / 172 / 3620</t>
  </si>
  <si>
    <t>0,75 / 0,75</t>
  </si>
  <si>
    <t>6 / 8</t>
  </si>
  <si>
    <t>46 / 45 / 34</t>
  </si>
  <si>
    <t>0 / 0 / 10 / 0 /12 / 24</t>
  </si>
  <si>
    <t>user-service</t>
  </si>
  <si>
    <t>68 / 80 / 2390</t>
  </si>
  <si>
    <t>106 / 107 / 1230</t>
  </si>
  <si>
    <t>75 / 76 / -1</t>
  </si>
  <si>
    <t>20 / 21 / 240</t>
  </si>
  <si>
    <t>10,3 / 10,6 / 1024</t>
  </si>
  <si>
    <t>173 / 187 / 3620</t>
  </si>
  <si>
    <t>0,85 / 0,85</t>
  </si>
  <si>
    <t>42 / 42 / 34</t>
  </si>
  <si>
    <t>0 / 0 / 11 / 0 / 8 / 23</t>
  </si>
  <si>
    <t>310 / 512 / 512</t>
  </si>
  <si>
    <t>7,4 / 7,7 / 64</t>
  </si>
  <si>
    <t>0,6 / 0,6</t>
  </si>
  <si>
    <t>0,095 / 0,095</t>
  </si>
  <si>
    <t>3,5 / 2</t>
  </si>
  <si>
    <t>0 / 0 / 11 / 0 / 8 / 59</t>
  </si>
  <si>
    <t>109 / 128 / 256</t>
  </si>
  <si>
    <t>160 / 163 / 304</t>
  </si>
  <si>
    <t>44 / 45 / 240</t>
  </si>
  <si>
    <t>13,3 / 13,6 / 64</t>
  </si>
  <si>
    <t>263 / 291 / 560</t>
  </si>
  <si>
    <t>3,5 / 8</t>
  </si>
  <si>
    <t>30 / 30 / 20</t>
  </si>
  <si>
    <t>0 / 0 / 11 / 0 / 14 / 6</t>
  </si>
  <si>
    <t>Total calculated RAM max, Mib</t>
  </si>
  <si>
    <t>62 / 62 / 96</t>
  </si>
  <si>
    <t>34 / 35 / 80</t>
  </si>
  <si>
    <t>104 / 105 / 240</t>
  </si>
  <si>
    <t>381 / 618 / 742</t>
  </si>
  <si>
    <t>notification-service</t>
  </si>
  <si>
    <t>160 / 512 / 512</t>
  </si>
  <si>
    <t>125 / 128 / 416</t>
  </si>
  <si>
    <t>95,2 / 96 / 96</t>
  </si>
  <si>
    <t>17,7 / 19,3 / 240</t>
  </si>
  <si>
    <t>12,6 / 13 / 80</t>
  </si>
  <si>
    <t>288 / 640 / 928</t>
  </si>
  <si>
    <t>25 / 2</t>
  </si>
  <si>
    <t>32 / 32 / 19</t>
  </si>
  <si>
    <t>0 / 0 / 10 / 0 / 13 / 7</t>
  </si>
  <si>
    <t>43 / 42 / 34</t>
  </si>
  <si>
    <t>93 / 128 / 256</t>
  </si>
  <si>
    <t>93 / 95 / 288</t>
  </si>
  <si>
    <t>28 / 28,5 / 240</t>
  </si>
  <si>
    <t>7 / 7,4 / 48</t>
  </si>
  <si>
    <t>185 / 223 / 544</t>
  </si>
  <si>
    <t>0,7 / 0,7</t>
  </si>
  <si>
    <t>12 / 8</t>
  </si>
  <si>
    <t>28 / 27 / 16</t>
  </si>
  <si>
    <t>0 / 0 / 11 / 0 / 12 / 6</t>
  </si>
  <si>
    <t>102 / 128 / 256</t>
  </si>
  <si>
    <t>119 / 122 / 288</t>
  </si>
  <si>
    <t>80 / 81 / -1</t>
  </si>
  <si>
    <t>28 / 29 / 240</t>
  </si>
  <si>
    <t>10 / 11 / 48</t>
  </si>
  <si>
    <t>221  /250 / 544</t>
  </si>
  <si>
    <t>11 / 8</t>
  </si>
  <si>
    <t>28 / 26 / 18</t>
  </si>
  <si>
    <t>0 / 0 / 11 / 0 / 10 / 5</t>
  </si>
  <si>
    <t>210 / 256 / 256</t>
  </si>
  <si>
    <t>129 / 150 / 304</t>
  </si>
  <si>
    <t>101 / 102 / -1</t>
  </si>
  <si>
    <t>15 / 35 / 240</t>
  </si>
  <si>
    <t>12,7 / 13,2 / 64</t>
  </si>
  <si>
    <t>337 / 406 / 560</t>
  </si>
  <si>
    <t>7 / 1</t>
  </si>
  <si>
    <t>32 / 30 / 19</t>
  </si>
  <si>
    <t>0 / 0 / 13 / 0 / 15 / 5</t>
  </si>
  <si>
    <t>301 / 512 / 512</t>
  </si>
  <si>
    <t>1.1 cold</t>
  </si>
  <si>
    <t>2.1 cold</t>
  </si>
  <si>
    <t>107 / 109 / 340</t>
  </si>
  <si>
    <t>63 / 63 / -1</t>
  </si>
  <si>
    <t>36 / 37 / 240</t>
  </si>
  <si>
    <t>442 / 621 / 816</t>
  </si>
  <si>
    <t>31 / 30 / 23</t>
  </si>
  <si>
    <t>0 / 0 / 10 / 0 / 8 / 13</t>
  </si>
  <si>
    <t>1.5 hot</t>
  </si>
  <si>
    <t>2.2 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</si>
</sst>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  <xf numFmtId="0" fontId="2" fillId="0" borderId="0" xfId="0" applyFont="1" applyAlignment="1">
      <alignment wrapText="1"/>
    </xf>
    <xf numFmtId="0" fontId="0" fillId="2" borderId="0" xfId="0" applyFill="1"/>
    <xf numFmtId="0" fontId="2" fillId="2" borderId="0" xfId="0" applyFont="1" applyFill="1" applyAlignment="1">
      <alignment wrapText="1"/>
    </xf>
    <xf numFmtId="17" fontId="0" fillId="0" borderId="0" xfId="0" applyNumberFormat="1"/>
    <xf numFmtId="0" fontId="2" fillId="3" borderId="0" xfId="0" applyFont="1" applyFill="1" applyAlignment="1">
      <alignment wrapText="1"/>
    </xf>
    <xf numFmtId="0" fontId="2" fillId="0" borderId="0" xfId="0" applyFont="1"/>
    <xf numFmtId="0" fontId="2" fillId="3" borderId="0" xfId="0" applyFont="1" applyFill="1"/>
    <xf numFmtId="1" fontId="2" fillId="3" borderId="0" xfId="0" applyNumberFormat="1" applyFont="1" applyFill="1"/>
    <xf numFmtId="16" fontId="0" fillId="0" borderId="0" xfId="0" quotePrefix="1" applyNumberFormat="1"/>
    <xf numFmtId="14" fontId="0" fillId="0" borderId="0" xfId="0" quotePrefix="1" applyNumberFormat="1"/>
    <xf numFmtId="0" fontId="0" fillId="0" borderId="0" xfId="0" applyFill="1"/>
    <xf numFmtId="0" fontId="1" fillId="0" borderId="0" xfId="0" applyFont="1"/>
    <xf numFmtId="0" fontId="0" fillId="0" borderId="0" xfId="0" quotePrefix="1" applyFill="1"/>
    <xf numFmtId="0" fontId="3" fillId="4" borderId="0" xfId="0" applyFont="1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46"/>
  <sheetViews>
    <sheetView tabSelected="1" topLeftCell="A25" zoomScale="70" zoomScaleNormal="70" workbookViewId="0">
      <selection activeCell="I32" sqref="I32"/>
    </sheetView>
  </sheetViews>
  <sheetFormatPr defaultRowHeight="15" x14ac:dyDescent="0.25"/>
  <cols>
    <col min="5" max="5" width="10.28515625" customWidth="1"/>
    <col min="6" max="6" width="17.7109375" customWidth="1"/>
    <col min="7" max="7" width="16.28515625" customWidth="1"/>
    <col min="8" max="8" width="18.85546875" customWidth="1"/>
    <col min="9" max="9" width="19.140625" customWidth="1"/>
    <col min="10" max="10" width="23" customWidth="1"/>
    <col min="11" max="11" width="21.5703125" customWidth="1"/>
    <col min="12" max="12" width="14.85546875" customWidth="1"/>
    <col min="13" max="13" width="11.85546875" bestFit="1" customWidth="1"/>
    <col min="14" max="14" width="11" customWidth="1"/>
    <col min="15" max="15" width="10.7109375" customWidth="1"/>
    <col min="16" max="16" width="18.28515625" customWidth="1"/>
    <col min="21" max="21" width="11.5703125" customWidth="1"/>
    <col min="23" max="23" width="11.7109375" style="8" customWidth="1"/>
  </cols>
  <sheetData>
    <row r="2" spans="1:23" ht="18.75" x14ac:dyDescent="0.3">
      <c r="B2" s="16" t="s">
        <v>0</v>
      </c>
      <c r="C2" s="17"/>
      <c r="D2" s="17"/>
    </row>
    <row r="3" spans="1:23" s="1" customFormat="1" ht="75" x14ac:dyDescent="0.25">
      <c r="A3" s="3"/>
      <c r="B3" s="3" t="s">
        <v>24</v>
      </c>
      <c r="C3" s="3" t="s">
        <v>25</v>
      </c>
      <c r="D3" s="3" t="s">
        <v>26</v>
      </c>
      <c r="E3" s="3" t="s">
        <v>1</v>
      </c>
      <c r="F3" s="5" t="s">
        <v>2</v>
      </c>
      <c r="G3" s="5" t="s">
        <v>4</v>
      </c>
      <c r="H3" s="5" t="s">
        <v>6</v>
      </c>
      <c r="I3" s="3" t="s">
        <v>7</v>
      </c>
      <c r="J3" s="3" t="s">
        <v>9</v>
      </c>
      <c r="K3" s="3" t="s">
        <v>10</v>
      </c>
      <c r="L3" s="3" t="s">
        <v>11</v>
      </c>
      <c r="M3" s="3" t="s">
        <v>13</v>
      </c>
      <c r="N3" s="3" t="s">
        <v>14</v>
      </c>
      <c r="O3" s="5" t="s">
        <v>16</v>
      </c>
      <c r="P3" s="3" t="s">
        <v>19</v>
      </c>
      <c r="Q3" s="3" t="s">
        <v>20</v>
      </c>
      <c r="R3" s="3" t="s">
        <v>21</v>
      </c>
      <c r="S3" s="3" t="s">
        <v>22</v>
      </c>
      <c r="T3" s="3" t="s">
        <v>23</v>
      </c>
      <c r="U3" s="3" t="s">
        <v>58</v>
      </c>
      <c r="V3" s="5" t="s">
        <v>27</v>
      </c>
      <c r="W3" s="7" t="s">
        <v>96</v>
      </c>
    </row>
    <row r="4" spans="1:23" x14ac:dyDescent="0.25">
      <c r="B4" t="s">
        <v>140</v>
      </c>
      <c r="C4">
        <v>120</v>
      </c>
      <c r="D4">
        <v>4</v>
      </c>
      <c r="E4">
        <v>0</v>
      </c>
      <c r="F4" s="4" t="s">
        <v>3</v>
      </c>
      <c r="G4" s="4">
        <v>88</v>
      </c>
      <c r="H4" s="4" t="s">
        <v>5</v>
      </c>
      <c r="I4" t="s">
        <v>8</v>
      </c>
      <c r="J4" t="s">
        <v>36</v>
      </c>
      <c r="K4" t="s">
        <v>37</v>
      </c>
      <c r="L4" t="s">
        <v>12</v>
      </c>
      <c r="M4" t="s">
        <v>38</v>
      </c>
      <c r="N4" s="2" t="s">
        <v>15</v>
      </c>
      <c r="O4" s="4" t="s">
        <v>17</v>
      </c>
      <c r="P4" t="s">
        <v>18</v>
      </c>
      <c r="Q4">
        <v>8.4999999999999995E-4</v>
      </c>
      <c r="R4">
        <v>0.02</v>
      </c>
      <c r="S4">
        <v>0.08</v>
      </c>
      <c r="T4">
        <v>12700</v>
      </c>
      <c r="U4" s="2">
        <v>0</v>
      </c>
      <c r="V4" s="4"/>
      <c r="W4" s="9"/>
    </row>
    <row r="5" spans="1:23" x14ac:dyDescent="0.25">
      <c r="E5">
        <v>0</v>
      </c>
      <c r="F5" s="4">
        <v>512</v>
      </c>
      <c r="G5" s="4">
        <v>88</v>
      </c>
      <c r="H5" s="4">
        <v>108</v>
      </c>
      <c r="K5" s="6"/>
      <c r="O5" s="4">
        <v>34</v>
      </c>
      <c r="U5">
        <v>0</v>
      </c>
      <c r="V5" s="4">
        <v>1</v>
      </c>
      <c r="W5" s="10">
        <f>F5+H5+G5/1024+(MAX(O5, E5)+U5)*V5</f>
        <v>654.0859375</v>
      </c>
    </row>
    <row r="6" spans="1:23" x14ac:dyDescent="0.25">
      <c r="B6" s="2" t="s">
        <v>148</v>
      </c>
      <c r="C6">
        <v>120</v>
      </c>
      <c r="D6">
        <v>1.7999999999999999E-2</v>
      </c>
      <c r="E6">
        <v>0</v>
      </c>
      <c r="F6" s="4" t="s">
        <v>39</v>
      </c>
      <c r="G6" s="4">
        <v>112</v>
      </c>
      <c r="H6" s="4" t="s">
        <v>40</v>
      </c>
      <c r="I6" t="s">
        <v>8</v>
      </c>
      <c r="J6" t="s">
        <v>41</v>
      </c>
      <c r="K6" t="s">
        <v>42</v>
      </c>
      <c r="L6" t="s">
        <v>43</v>
      </c>
      <c r="M6" t="s">
        <v>85</v>
      </c>
      <c r="N6" s="12" t="s">
        <v>46</v>
      </c>
      <c r="O6" s="4" t="s">
        <v>44</v>
      </c>
      <c r="P6" t="s">
        <v>45</v>
      </c>
      <c r="R6">
        <v>0.02</v>
      </c>
      <c r="S6">
        <v>1.4999999999999999E-2</v>
      </c>
      <c r="T6">
        <v>12830</v>
      </c>
      <c r="U6">
        <v>0</v>
      </c>
      <c r="V6" s="4"/>
      <c r="W6" s="9"/>
    </row>
    <row r="7" spans="1:23" x14ac:dyDescent="0.25">
      <c r="E7">
        <v>0</v>
      </c>
      <c r="F7" s="4">
        <v>512</v>
      </c>
      <c r="G7" s="4">
        <v>112</v>
      </c>
      <c r="H7" s="4">
        <v>115</v>
      </c>
      <c r="O7" s="4">
        <v>43</v>
      </c>
      <c r="U7">
        <v>0</v>
      </c>
      <c r="V7" s="4">
        <v>1</v>
      </c>
      <c r="W7" s="10">
        <f>F7+H7+G7/1024+(MAX(O7, E7)+U7)*V7</f>
        <v>670.109375</v>
      </c>
    </row>
    <row r="8" spans="1:23" x14ac:dyDescent="0.25">
      <c r="F8" s="4"/>
      <c r="G8" s="4"/>
      <c r="H8" s="4"/>
      <c r="O8" s="4"/>
      <c r="U8">
        <v>0</v>
      </c>
      <c r="V8" s="4"/>
      <c r="W8" s="9"/>
    </row>
    <row r="9" spans="1:23" x14ac:dyDescent="0.25">
      <c r="B9" t="s">
        <v>141</v>
      </c>
      <c r="C9">
        <v>120</v>
      </c>
      <c r="D9">
        <v>2.5</v>
      </c>
      <c r="E9">
        <v>0</v>
      </c>
      <c r="F9" s="4" t="s">
        <v>82</v>
      </c>
      <c r="G9" s="4">
        <v>213</v>
      </c>
      <c r="H9" s="4" t="s">
        <v>99</v>
      </c>
      <c r="I9" t="s">
        <v>97</v>
      </c>
      <c r="J9" s="13" t="s">
        <v>98</v>
      </c>
      <c r="K9" s="13" t="s">
        <v>83</v>
      </c>
      <c r="L9" s="13" t="s">
        <v>100</v>
      </c>
      <c r="M9" s="13" t="s">
        <v>84</v>
      </c>
      <c r="N9" s="13" t="s">
        <v>86</v>
      </c>
      <c r="O9" s="4" t="s">
        <v>111</v>
      </c>
      <c r="P9" s="13" t="s">
        <v>87</v>
      </c>
      <c r="Q9" s="13">
        <v>1.1000000000000001E-3</v>
      </c>
      <c r="R9" s="13">
        <v>0.02</v>
      </c>
      <c r="S9" s="13">
        <v>1.0999999999999999E-2</v>
      </c>
      <c r="T9">
        <v>12675</v>
      </c>
      <c r="U9">
        <v>0</v>
      </c>
      <c r="V9" s="4"/>
      <c r="W9" s="10"/>
    </row>
    <row r="10" spans="1:23" x14ac:dyDescent="0.25">
      <c r="E10">
        <v>0</v>
      </c>
      <c r="F10" s="4">
        <v>512</v>
      </c>
      <c r="G10" s="4">
        <v>213</v>
      </c>
      <c r="H10" s="4">
        <v>240</v>
      </c>
      <c r="O10" s="4">
        <v>43</v>
      </c>
      <c r="V10" s="4">
        <v>0.5</v>
      </c>
      <c r="W10" s="10">
        <f>F10+H10+G10/1024+(MAX(O10, E10)+U10)*V10</f>
        <v>773.7080078125</v>
      </c>
    </row>
    <row r="11" spans="1:23" x14ac:dyDescent="0.25">
      <c r="B11" s="11" t="s">
        <v>149</v>
      </c>
      <c r="C11">
        <v>120</v>
      </c>
      <c r="D11">
        <v>0.05</v>
      </c>
      <c r="E11">
        <v>0</v>
      </c>
      <c r="F11" s="4" t="s">
        <v>139</v>
      </c>
      <c r="G11" s="4">
        <v>90</v>
      </c>
      <c r="H11" s="4" t="s">
        <v>142</v>
      </c>
      <c r="I11" s="13" t="s">
        <v>143</v>
      </c>
      <c r="J11" s="13" t="s">
        <v>144</v>
      </c>
      <c r="K11" s="13" t="s">
        <v>83</v>
      </c>
      <c r="L11" s="13" t="s">
        <v>145</v>
      </c>
      <c r="M11" s="13">
        <v>0.06</v>
      </c>
      <c r="N11" s="15" t="s">
        <v>15</v>
      </c>
      <c r="O11" s="4" t="s">
        <v>146</v>
      </c>
      <c r="P11" s="13" t="s">
        <v>147</v>
      </c>
      <c r="Q11">
        <v>4.0000000000000002E-4</v>
      </c>
      <c r="R11" s="13">
        <v>0.02</v>
      </c>
      <c r="S11">
        <v>2.5000000000000001E-2</v>
      </c>
      <c r="T11">
        <v>12771</v>
      </c>
      <c r="U11">
        <v>0</v>
      </c>
      <c r="V11" s="4"/>
      <c r="W11" s="9"/>
    </row>
    <row r="12" spans="1:23" x14ac:dyDescent="0.25">
      <c r="E12">
        <v>0</v>
      </c>
      <c r="F12" s="4">
        <v>512</v>
      </c>
      <c r="G12" s="4">
        <v>90</v>
      </c>
      <c r="H12" s="4">
        <v>304</v>
      </c>
      <c r="O12" s="4">
        <v>31</v>
      </c>
      <c r="U12">
        <v>0</v>
      </c>
      <c r="V12" s="4">
        <v>0.5</v>
      </c>
      <c r="W12" s="10">
        <f>F12+H12+G12/1024+(MAX(O12, E12)+U12)*V12</f>
        <v>831.587890625</v>
      </c>
    </row>
    <row r="13" spans="1:23" x14ac:dyDescent="0.25">
      <c r="W13"/>
    </row>
    <row r="14" spans="1:23" ht="18.75" x14ac:dyDescent="0.3">
      <c r="B14" s="16" t="s">
        <v>29</v>
      </c>
      <c r="C14" s="16"/>
      <c r="D14" s="17"/>
    </row>
    <row r="15" spans="1:23" ht="75" x14ac:dyDescent="0.25">
      <c r="B15" s="3" t="s">
        <v>24</v>
      </c>
      <c r="C15" s="3" t="s">
        <v>25</v>
      </c>
      <c r="D15" s="3" t="s">
        <v>26</v>
      </c>
      <c r="E15" s="3" t="s">
        <v>1</v>
      </c>
      <c r="F15" s="5" t="s">
        <v>2</v>
      </c>
      <c r="G15" s="5" t="s">
        <v>4</v>
      </c>
      <c r="H15" s="5" t="s">
        <v>6</v>
      </c>
      <c r="I15" s="3" t="s">
        <v>7</v>
      </c>
      <c r="J15" s="3" t="s">
        <v>9</v>
      </c>
      <c r="K15" s="3" t="s">
        <v>10</v>
      </c>
      <c r="L15" s="3" t="s">
        <v>11</v>
      </c>
      <c r="M15" s="3" t="s">
        <v>13</v>
      </c>
      <c r="N15" s="3" t="s">
        <v>14</v>
      </c>
      <c r="O15" s="5" t="s">
        <v>16</v>
      </c>
      <c r="P15" s="3" t="s">
        <v>19</v>
      </c>
      <c r="Q15" s="3" t="s">
        <v>20</v>
      </c>
      <c r="R15" s="3" t="s">
        <v>21</v>
      </c>
      <c r="S15" s="3" t="s">
        <v>22</v>
      </c>
      <c r="T15" s="3" t="s">
        <v>23</v>
      </c>
      <c r="U15" s="3" t="s">
        <v>58</v>
      </c>
      <c r="V15" s="5" t="s">
        <v>27</v>
      </c>
      <c r="W15" s="7" t="s">
        <v>96</v>
      </c>
    </row>
    <row r="16" spans="1:23" x14ac:dyDescent="0.25">
      <c r="B16" t="s">
        <v>140</v>
      </c>
      <c r="C16">
        <v>0</v>
      </c>
      <c r="D16">
        <v>0</v>
      </c>
      <c r="E16">
        <v>200</v>
      </c>
      <c r="F16" s="4" t="s">
        <v>30</v>
      </c>
      <c r="G16" s="4">
        <v>2000</v>
      </c>
      <c r="H16" s="4" t="s">
        <v>31</v>
      </c>
      <c r="I16" t="s">
        <v>32</v>
      </c>
      <c r="J16" t="s">
        <v>51</v>
      </c>
      <c r="K16" t="s">
        <v>52</v>
      </c>
      <c r="L16" t="s">
        <v>33</v>
      </c>
      <c r="M16" t="s">
        <v>54</v>
      </c>
      <c r="N16" s="2" t="s">
        <v>69</v>
      </c>
      <c r="O16" s="4" t="s">
        <v>34</v>
      </c>
      <c r="P16" t="s">
        <v>35</v>
      </c>
      <c r="Q16">
        <v>1.6000000000000001E-4</v>
      </c>
      <c r="R16">
        <v>6.0000000000000001E-3</v>
      </c>
      <c r="S16">
        <v>3.5000000000000003E-2</v>
      </c>
      <c r="T16">
        <v>20000</v>
      </c>
      <c r="U16" s="11" t="s">
        <v>59</v>
      </c>
      <c r="V16" s="4"/>
      <c r="W16" s="9"/>
    </row>
    <row r="17" spans="2:23" x14ac:dyDescent="0.25">
      <c r="E17">
        <v>200</v>
      </c>
      <c r="F17" s="4">
        <v>2390</v>
      </c>
      <c r="G17" s="4">
        <v>2000</v>
      </c>
      <c r="H17" s="4">
        <v>1230</v>
      </c>
      <c r="K17" s="6"/>
      <c r="O17" s="4">
        <v>47</v>
      </c>
      <c r="U17">
        <v>10</v>
      </c>
      <c r="V17" s="4">
        <v>1</v>
      </c>
      <c r="W17" s="10">
        <f>F17+H17+G17/1024+(MAX(O17, E17)+U17)*V17</f>
        <v>3831.953125</v>
      </c>
    </row>
    <row r="18" spans="2:23" x14ac:dyDescent="0.25">
      <c r="B18" s="2" t="s">
        <v>148</v>
      </c>
      <c r="C18">
        <v>0</v>
      </c>
      <c r="D18">
        <v>0</v>
      </c>
      <c r="E18">
        <v>200</v>
      </c>
      <c r="F18" s="4" t="s">
        <v>60</v>
      </c>
      <c r="G18" s="4">
        <v>1590</v>
      </c>
      <c r="H18" s="4" t="s">
        <v>47</v>
      </c>
      <c r="O18" s="4" t="s">
        <v>56</v>
      </c>
      <c r="U18" s="11" t="s">
        <v>59</v>
      </c>
      <c r="V18" s="4"/>
      <c r="W18" s="9"/>
    </row>
    <row r="19" spans="2:23" x14ac:dyDescent="0.25">
      <c r="E19">
        <v>200</v>
      </c>
      <c r="F19" s="4">
        <v>2390</v>
      </c>
      <c r="G19" s="4">
        <v>1590</v>
      </c>
      <c r="H19" s="4">
        <v>1230</v>
      </c>
      <c r="I19" t="s">
        <v>50</v>
      </c>
      <c r="J19" t="s">
        <v>49</v>
      </c>
      <c r="K19" t="s">
        <v>53</v>
      </c>
      <c r="L19" t="s">
        <v>48</v>
      </c>
      <c r="M19">
        <v>0.2</v>
      </c>
      <c r="N19" s="2" t="s">
        <v>55</v>
      </c>
      <c r="O19" s="4">
        <v>48</v>
      </c>
      <c r="P19" t="s">
        <v>57</v>
      </c>
      <c r="Q19">
        <v>6.9999999999999994E-5</v>
      </c>
      <c r="R19">
        <v>0.06</v>
      </c>
      <c r="S19">
        <v>3.2000000000000001E-2</v>
      </c>
      <c r="T19">
        <v>20000</v>
      </c>
      <c r="U19">
        <v>10</v>
      </c>
      <c r="V19" s="4">
        <v>1</v>
      </c>
      <c r="W19" s="10">
        <f>F19+H19+G19/1024+(MAX(O19, E19)+U19)*V19</f>
        <v>3831.552734375</v>
      </c>
    </row>
    <row r="20" spans="2:23" x14ac:dyDescent="0.25">
      <c r="F20" s="4"/>
      <c r="G20" s="4"/>
      <c r="H20" s="4"/>
      <c r="O20" s="4"/>
      <c r="V20" s="4"/>
      <c r="W20" s="10"/>
    </row>
    <row r="21" spans="2:23" x14ac:dyDescent="0.25">
      <c r="B21" t="s">
        <v>141</v>
      </c>
      <c r="C21">
        <v>0</v>
      </c>
      <c r="D21">
        <v>0</v>
      </c>
      <c r="E21">
        <v>4</v>
      </c>
      <c r="F21" s="4" t="s">
        <v>88</v>
      </c>
      <c r="G21" s="4">
        <v>1120</v>
      </c>
      <c r="H21" s="4" t="s">
        <v>89</v>
      </c>
      <c r="I21" t="s">
        <v>32</v>
      </c>
      <c r="J21" s="13" t="s">
        <v>90</v>
      </c>
      <c r="K21" s="13" t="s">
        <v>91</v>
      </c>
      <c r="L21" s="13" t="s">
        <v>92</v>
      </c>
      <c r="M21">
        <v>0.44</v>
      </c>
      <c r="N21" s="2" t="s">
        <v>93</v>
      </c>
      <c r="O21" s="4" t="s">
        <v>94</v>
      </c>
      <c r="P21" t="s">
        <v>95</v>
      </c>
      <c r="Q21">
        <v>1E-4</v>
      </c>
      <c r="R21">
        <v>5.6000000000000001E-2</v>
      </c>
      <c r="S21">
        <v>2.7E-2</v>
      </c>
      <c r="T21">
        <v>19807</v>
      </c>
      <c r="U21" s="11" t="s">
        <v>59</v>
      </c>
      <c r="V21" s="4"/>
      <c r="W21" s="10"/>
    </row>
    <row r="22" spans="2:23" x14ac:dyDescent="0.25">
      <c r="E22">
        <v>4</v>
      </c>
      <c r="F22" s="4">
        <v>256</v>
      </c>
      <c r="G22" s="4">
        <v>1120</v>
      </c>
      <c r="H22" s="4">
        <v>163</v>
      </c>
      <c r="O22" s="4">
        <v>30</v>
      </c>
      <c r="U22">
        <v>10</v>
      </c>
      <c r="V22" s="4">
        <v>0.5</v>
      </c>
      <c r="W22" s="10">
        <f>F22+H22+G22/1024+(MAX(O22, E22)+U22)*V22</f>
        <v>440.09375</v>
      </c>
    </row>
    <row r="24" spans="2:23" ht="18.75" x14ac:dyDescent="0.3">
      <c r="B24" s="16" t="s">
        <v>61</v>
      </c>
      <c r="C24" s="16"/>
      <c r="D24" s="16"/>
    </row>
    <row r="25" spans="2:23" ht="75" x14ac:dyDescent="0.25">
      <c r="B25" s="3" t="s">
        <v>24</v>
      </c>
      <c r="C25" s="3" t="s">
        <v>25</v>
      </c>
      <c r="D25" s="3" t="s">
        <v>26</v>
      </c>
      <c r="E25" s="3" t="s">
        <v>1</v>
      </c>
      <c r="F25" s="5" t="s">
        <v>2</v>
      </c>
      <c r="G25" s="5" t="s">
        <v>4</v>
      </c>
      <c r="H25" s="5" t="s">
        <v>6</v>
      </c>
      <c r="I25" s="3" t="s">
        <v>7</v>
      </c>
      <c r="J25" s="3" t="s">
        <v>9</v>
      </c>
      <c r="K25" s="3" t="s">
        <v>10</v>
      </c>
      <c r="L25" s="3" t="s">
        <v>11</v>
      </c>
      <c r="M25" s="3" t="s">
        <v>13</v>
      </c>
      <c r="N25" s="3" t="s">
        <v>14</v>
      </c>
      <c r="O25" s="5" t="s">
        <v>16</v>
      </c>
      <c r="P25" s="3" t="s">
        <v>19</v>
      </c>
      <c r="Q25" s="3" t="s">
        <v>20</v>
      </c>
      <c r="R25" s="3" t="s">
        <v>21</v>
      </c>
      <c r="S25" s="3" t="s">
        <v>22</v>
      </c>
      <c r="T25" s="3" t="s">
        <v>23</v>
      </c>
      <c r="U25" s="3" t="s">
        <v>58</v>
      </c>
      <c r="V25" s="5" t="s">
        <v>27</v>
      </c>
      <c r="W25" s="7" t="s">
        <v>28</v>
      </c>
    </row>
    <row r="26" spans="2:23" x14ac:dyDescent="0.25">
      <c r="B26" t="s">
        <v>140</v>
      </c>
      <c r="C26">
        <v>0</v>
      </c>
      <c r="D26">
        <v>0</v>
      </c>
      <c r="E26">
        <v>200</v>
      </c>
      <c r="F26" s="4" t="s">
        <v>62</v>
      </c>
      <c r="G26" s="4">
        <v>101</v>
      </c>
      <c r="H26" s="4" t="s">
        <v>63</v>
      </c>
      <c r="I26" t="s">
        <v>64</v>
      </c>
      <c r="J26" t="s">
        <v>65</v>
      </c>
      <c r="K26" t="s">
        <v>66</v>
      </c>
      <c r="L26" t="s">
        <v>67</v>
      </c>
      <c r="M26" t="s">
        <v>68</v>
      </c>
      <c r="N26" s="2" t="s">
        <v>69</v>
      </c>
      <c r="O26" s="4" t="s">
        <v>70</v>
      </c>
      <c r="P26" t="s">
        <v>71</v>
      </c>
      <c r="Q26">
        <v>1E-4</v>
      </c>
      <c r="R26">
        <v>1.9E-2</v>
      </c>
      <c r="S26">
        <v>0.05</v>
      </c>
      <c r="T26">
        <v>12126</v>
      </c>
      <c r="U26">
        <v>0</v>
      </c>
      <c r="V26" s="4"/>
      <c r="W26" s="9"/>
    </row>
    <row r="27" spans="2:23" x14ac:dyDescent="0.25">
      <c r="E27">
        <v>200</v>
      </c>
      <c r="F27" s="4">
        <v>2390</v>
      </c>
      <c r="G27" s="4">
        <v>101</v>
      </c>
      <c r="H27" s="4">
        <v>1230</v>
      </c>
      <c r="K27" s="6"/>
      <c r="O27" s="4">
        <v>46</v>
      </c>
      <c r="U27">
        <v>0</v>
      </c>
      <c r="V27" s="4">
        <v>1</v>
      </c>
      <c r="W27" s="10">
        <f>F27+H27+G27/1024+(MAX(O27, E27)+U27)*V27</f>
        <v>3820.0986328125</v>
      </c>
    </row>
    <row r="28" spans="2:23" x14ac:dyDescent="0.25">
      <c r="F28" s="4"/>
      <c r="G28" s="4"/>
      <c r="H28" s="4"/>
      <c r="O28" s="4"/>
      <c r="V28" s="4"/>
      <c r="W28" s="9"/>
    </row>
    <row r="29" spans="2:23" x14ac:dyDescent="0.25">
      <c r="B29" t="s">
        <v>141</v>
      </c>
      <c r="C29">
        <v>0</v>
      </c>
      <c r="D29">
        <v>0</v>
      </c>
      <c r="E29">
        <v>4</v>
      </c>
      <c r="F29" s="4" t="s">
        <v>112</v>
      </c>
      <c r="G29" s="4">
        <v>33</v>
      </c>
      <c r="H29" s="4" t="s">
        <v>113</v>
      </c>
      <c r="I29" t="s">
        <v>64</v>
      </c>
      <c r="J29" t="s">
        <v>114</v>
      </c>
      <c r="K29" t="s">
        <v>115</v>
      </c>
      <c r="L29" t="s">
        <v>116</v>
      </c>
      <c r="M29" t="s">
        <v>117</v>
      </c>
      <c r="N29" s="11" t="s">
        <v>118</v>
      </c>
      <c r="O29" s="4" t="s">
        <v>119</v>
      </c>
      <c r="P29" t="s">
        <v>120</v>
      </c>
      <c r="Q29">
        <v>1.2E-4</v>
      </c>
      <c r="R29">
        <v>1.0999999999999999E-2</v>
      </c>
      <c r="S29">
        <v>2.7E-2</v>
      </c>
      <c r="T29">
        <v>12130</v>
      </c>
      <c r="U29">
        <v>0</v>
      </c>
      <c r="V29" s="4"/>
      <c r="W29" s="10"/>
    </row>
    <row r="30" spans="2:23" x14ac:dyDescent="0.25">
      <c r="E30">
        <v>4</v>
      </c>
      <c r="F30" s="4">
        <v>256</v>
      </c>
      <c r="G30" s="4">
        <v>33</v>
      </c>
      <c r="H30" s="4">
        <v>288</v>
      </c>
      <c r="O30" s="4">
        <v>28</v>
      </c>
      <c r="U30">
        <v>0</v>
      </c>
      <c r="V30" s="4">
        <v>0.5</v>
      </c>
      <c r="W30" s="10">
        <f>F30+H30+G30/1024+(MAX(O30, E30)+U30)*V30</f>
        <v>558.0322265625</v>
      </c>
    </row>
    <row r="32" spans="2:23" ht="18.75" x14ac:dyDescent="0.3">
      <c r="B32" s="16" t="s">
        <v>72</v>
      </c>
      <c r="C32" s="16"/>
      <c r="D32" s="16"/>
    </row>
    <row r="33" spans="2:23" ht="75" x14ac:dyDescent="0.25">
      <c r="B33" s="3" t="s">
        <v>24</v>
      </c>
      <c r="C33" s="3" t="s">
        <v>25</v>
      </c>
      <c r="D33" s="3" t="s">
        <v>26</v>
      </c>
      <c r="E33" s="3" t="s">
        <v>1</v>
      </c>
      <c r="F33" s="5" t="s">
        <v>2</v>
      </c>
      <c r="G33" s="5" t="s">
        <v>4</v>
      </c>
      <c r="H33" s="5" t="s">
        <v>6</v>
      </c>
      <c r="I33" s="3" t="s">
        <v>7</v>
      </c>
      <c r="J33" s="3" t="s">
        <v>9</v>
      </c>
      <c r="K33" s="3" t="s">
        <v>10</v>
      </c>
      <c r="L33" s="3" t="s">
        <v>11</v>
      </c>
      <c r="M33" s="3" t="s">
        <v>13</v>
      </c>
      <c r="N33" s="3" t="s">
        <v>14</v>
      </c>
      <c r="O33" s="5" t="s">
        <v>16</v>
      </c>
      <c r="P33" s="3" t="s">
        <v>19</v>
      </c>
      <c r="Q33" s="3" t="s">
        <v>20</v>
      </c>
      <c r="R33" s="3" t="s">
        <v>21</v>
      </c>
      <c r="S33" s="3" t="s">
        <v>22</v>
      </c>
      <c r="T33" s="3" t="s">
        <v>23</v>
      </c>
      <c r="U33" s="3" t="s">
        <v>58</v>
      </c>
      <c r="V33" s="5" t="s">
        <v>27</v>
      </c>
      <c r="W33" s="7" t="s">
        <v>28</v>
      </c>
    </row>
    <row r="34" spans="2:23" x14ac:dyDescent="0.25">
      <c r="B34" t="s">
        <v>140</v>
      </c>
      <c r="C34">
        <v>0</v>
      </c>
      <c r="D34">
        <v>0</v>
      </c>
      <c r="E34">
        <v>200</v>
      </c>
      <c r="F34" s="4" t="s">
        <v>73</v>
      </c>
      <c r="G34" s="4">
        <v>2500</v>
      </c>
      <c r="H34" s="4" t="s">
        <v>74</v>
      </c>
      <c r="I34" t="s">
        <v>75</v>
      </c>
      <c r="J34" t="s">
        <v>76</v>
      </c>
      <c r="K34" t="s">
        <v>77</v>
      </c>
      <c r="L34" t="s">
        <v>78</v>
      </c>
      <c r="M34" t="s">
        <v>79</v>
      </c>
      <c r="N34" s="2" t="s">
        <v>69</v>
      </c>
      <c r="O34" s="4" t="s">
        <v>80</v>
      </c>
      <c r="P34" t="s">
        <v>81</v>
      </c>
      <c r="Q34">
        <v>1E-4</v>
      </c>
      <c r="R34">
        <v>3.5999999999999999E-3</v>
      </c>
      <c r="S34">
        <v>0.04</v>
      </c>
      <c r="T34">
        <v>16004</v>
      </c>
      <c r="U34">
        <v>10</v>
      </c>
      <c r="V34" s="4"/>
      <c r="W34" s="9"/>
    </row>
    <row r="35" spans="2:23" x14ac:dyDescent="0.25">
      <c r="E35">
        <v>200</v>
      </c>
      <c r="F35" s="4">
        <v>2390</v>
      </c>
      <c r="G35" s="4">
        <v>2500</v>
      </c>
      <c r="H35" s="4">
        <v>1230</v>
      </c>
      <c r="K35" s="6"/>
      <c r="O35" s="4">
        <v>42</v>
      </c>
      <c r="U35">
        <v>10</v>
      </c>
      <c r="V35" s="4">
        <v>1</v>
      </c>
      <c r="W35" s="10">
        <f>F35+H35+G35/1024+(MAX(O35, E35)+U35)*V35</f>
        <v>3832.44140625</v>
      </c>
    </row>
    <row r="36" spans="2:23" x14ac:dyDescent="0.25">
      <c r="F36" s="4"/>
      <c r="G36" s="4"/>
      <c r="H36" s="4"/>
      <c r="O36" s="4"/>
      <c r="V36" s="4"/>
      <c r="W36" s="9"/>
    </row>
    <row r="37" spans="2:23" x14ac:dyDescent="0.25">
      <c r="B37" t="s">
        <v>141</v>
      </c>
      <c r="C37">
        <v>0</v>
      </c>
      <c r="D37">
        <v>0</v>
      </c>
      <c r="E37">
        <v>4</v>
      </c>
      <c r="F37" s="4" t="s">
        <v>121</v>
      </c>
      <c r="G37" s="4">
        <v>490</v>
      </c>
      <c r="H37" s="4" t="s">
        <v>122</v>
      </c>
      <c r="I37" t="s">
        <v>123</v>
      </c>
      <c r="J37" t="s">
        <v>124</v>
      </c>
      <c r="K37" s="12" t="s">
        <v>125</v>
      </c>
      <c r="L37" t="s">
        <v>126</v>
      </c>
      <c r="M37" t="s">
        <v>68</v>
      </c>
      <c r="N37" s="2" t="s">
        <v>127</v>
      </c>
      <c r="O37" s="4" t="s">
        <v>128</v>
      </c>
      <c r="P37" t="s">
        <v>129</v>
      </c>
      <c r="Q37">
        <v>8.0000000000000007E-5</v>
      </c>
      <c r="R37">
        <v>1.0999999999999999E-2</v>
      </c>
      <c r="S37">
        <v>0.09</v>
      </c>
      <c r="T37">
        <v>16300</v>
      </c>
      <c r="U37">
        <v>1</v>
      </c>
      <c r="V37" s="4"/>
      <c r="W37" s="9"/>
    </row>
    <row r="38" spans="2:23" x14ac:dyDescent="0.25">
      <c r="E38">
        <v>4</v>
      </c>
      <c r="F38" s="4">
        <v>256</v>
      </c>
      <c r="G38" s="4">
        <v>490</v>
      </c>
      <c r="H38" s="4">
        <v>288</v>
      </c>
      <c r="O38" s="4">
        <v>28</v>
      </c>
      <c r="U38">
        <v>1</v>
      </c>
      <c r="V38" s="4">
        <v>0.5</v>
      </c>
      <c r="W38" s="10">
        <f>F38+H38+G38/1024+(MAX(O38, E38)+U38)*V38</f>
        <v>558.978515625</v>
      </c>
    </row>
    <row r="40" spans="2:23" ht="18.75" x14ac:dyDescent="0.3">
      <c r="B40" s="16" t="s">
        <v>101</v>
      </c>
      <c r="C40" s="16"/>
      <c r="D40" s="16"/>
    </row>
    <row r="41" spans="2:23" ht="75" x14ac:dyDescent="0.25">
      <c r="B41" s="3" t="s">
        <v>24</v>
      </c>
      <c r="C41" s="3" t="s">
        <v>25</v>
      </c>
      <c r="D41" s="3" t="s">
        <v>26</v>
      </c>
      <c r="E41" s="3" t="s">
        <v>1</v>
      </c>
      <c r="F41" s="5" t="s">
        <v>2</v>
      </c>
      <c r="G41" s="5" t="s">
        <v>4</v>
      </c>
      <c r="H41" s="5" t="s">
        <v>6</v>
      </c>
      <c r="I41" s="3" t="s">
        <v>7</v>
      </c>
      <c r="J41" s="3" t="s">
        <v>9</v>
      </c>
      <c r="K41" s="3" t="s">
        <v>10</v>
      </c>
      <c r="L41" s="3" t="s">
        <v>11</v>
      </c>
      <c r="M41" s="3" t="s">
        <v>13</v>
      </c>
      <c r="N41" s="3" t="s">
        <v>14</v>
      </c>
      <c r="O41" s="5" t="s">
        <v>16</v>
      </c>
      <c r="P41" s="3" t="s">
        <v>19</v>
      </c>
      <c r="Q41" s="3" t="s">
        <v>20</v>
      </c>
      <c r="R41" s="3" t="s">
        <v>21</v>
      </c>
      <c r="S41" s="3" t="s">
        <v>22</v>
      </c>
      <c r="T41" s="3" t="s">
        <v>23</v>
      </c>
      <c r="U41" s="3" t="s">
        <v>58</v>
      </c>
      <c r="V41" s="5" t="s">
        <v>27</v>
      </c>
      <c r="W41" s="7" t="s">
        <v>28</v>
      </c>
    </row>
    <row r="42" spans="2:23" x14ac:dyDescent="0.25">
      <c r="B42" t="s">
        <v>140</v>
      </c>
      <c r="C42">
        <v>0</v>
      </c>
      <c r="D42">
        <v>0</v>
      </c>
      <c r="E42">
        <v>4</v>
      </c>
      <c r="F42" s="4" t="s">
        <v>102</v>
      </c>
      <c r="G42" s="4">
        <v>4000</v>
      </c>
      <c r="H42" s="4" t="s">
        <v>103</v>
      </c>
      <c r="I42" t="s">
        <v>104</v>
      </c>
      <c r="J42" t="s">
        <v>105</v>
      </c>
      <c r="K42" t="s">
        <v>106</v>
      </c>
      <c r="L42" t="s">
        <v>107</v>
      </c>
      <c r="M42" t="s">
        <v>68</v>
      </c>
      <c r="N42" s="11" t="s">
        <v>108</v>
      </c>
      <c r="O42" s="4" t="s">
        <v>109</v>
      </c>
      <c r="P42" t="s">
        <v>110</v>
      </c>
      <c r="Q42">
        <v>1.4E-2</v>
      </c>
      <c r="R42">
        <v>2.0999999999999999E-3</v>
      </c>
      <c r="S42">
        <v>0.18</v>
      </c>
      <c r="T42">
        <v>19400</v>
      </c>
      <c r="U42">
        <v>10</v>
      </c>
      <c r="V42" s="4"/>
      <c r="W42" s="9"/>
    </row>
    <row r="43" spans="2:23" x14ac:dyDescent="0.25">
      <c r="E43">
        <v>4</v>
      </c>
      <c r="F43" s="4">
        <v>512</v>
      </c>
      <c r="G43" s="4">
        <v>4000</v>
      </c>
      <c r="H43" s="4">
        <v>416</v>
      </c>
      <c r="K43" s="6"/>
      <c r="O43" s="4">
        <v>32</v>
      </c>
      <c r="U43">
        <v>10</v>
      </c>
      <c r="V43" s="4">
        <v>1</v>
      </c>
      <c r="W43" s="10">
        <f>F43+H43+G43/1024+(MAX(O43, E43)+U43)*V43</f>
        <v>973.90625</v>
      </c>
    </row>
    <row r="44" spans="2:23" x14ac:dyDescent="0.25">
      <c r="F44" s="4"/>
      <c r="G44" s="4"/>
      <c r="H44" s="4"/>
      <c r="O44" s="4"/>
      <c r="V44" s="4"/>
      <c r="W44" s="9"/>
    </row>
    <row r="45" spans="2:23" x14ac:dyDescent="0.25">
      <c r="B45" t="s">
        <v>141</v>
      </c>
      <c r="C45">
        <v>0</v>
      </c>
      <c r="D45">
        <v>0</v>
      </c>
      <c r="E45">
        <v>4</v>
      </c>
      <c r="F45" s="4" t="s">
        <v>130</v>
      </c>
      <c r="G45" s="4">
        <v>2100</v>
      </c>
      <c r="H45" s="4" t="s">
        <v>131</v>
      </c>
      <c r="I45" t="s">
        <v>132</v>
      </c>
      <c r="J45" t="s">
        <v>133</v>
      </c>
      <c r="K45" t="s">
        <v>134</v>
      </c>
      <c r="L45" t="s">
        <v>135</v>
      </c>
      <c r="M45" s="14">
        <v>1</v>
      </c>
      <c r="N45" s="2" t="s">
        <v>136</v>
      </c>
      <c r="O45" s="4" t="s">
        <v>137</v>
      </c>
      <c r="P45" t="s">
        <v>138</v>
      </c>
      <c r="Q45">
        <v>0.03</v>
      </c>
      <c r="R45" s="14">
        <v>7.39</v>
      </c>
      <c r="S45">
        <v>0.06</v>
      </c>
      <c r="T45">
        <v>19600</v>
      </c>
      <c r="U45">
        <v>2</v>
      </c>
      <c r="V45" s="4"/>
      <c r="W45" s="9"/>
    </row>
    <row r="46" spans="2:23" x14ac:dyDescent="0.25">
      <c r="E46">
        <v>4</v>
      </c>
      <c r="F46" s="4">
        <v>256</v>
      </c>
      <c r="G46" s="4">
        <v>2100</v>
      </c>
      <c r="H46" s="4">
        <v>304</v>
      </c>
      <c r="O46" s="4">
        <v>32</v>
      </c>
      <c r="U46">
        <v>2</v>
      </c>
      <c r="V46" s="4">
        <v>0.5</v>
      </c>
      <c r="W46" s="10">
        <f>F46+H46+G46/1024+(MAX(O46, E46)+U46)*V46</f>
        <v>579.05078125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krevs</dc:creator>
  <cp:lastModifiedBy>krevs</cp:lastModifiedBy>
  <dcterms:created xsi:type="dcterms:W3CDTF">2026-05-12T09:28:53Z</dcterms:created>
  <dcterms:modified xsi:type="dcterms:W3CDTF">2026-05-12T15:44:12Z</dcterms:modified>
</cp:coreProperties>
</file>